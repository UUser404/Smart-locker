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<sst xmlns="http://schemas.openxmlformats.org/spreadsheetml/2006/main" count="51" uniqueCount="43">
  <si>
    <t>RAB PROJECT SEMESTER 5</t>
  </si>
  <si>
    <t>NO</t>
  </si>
  <si>
    <t>RENCANA PENGELUARAN</t>
  </si>
  <si>
    <t>MERK</t>
  </si>
  <si>
    <t>VOLUME</t>
  </si>
  <si>
    <t>HARGA SATUAN</t>
  </si>
  <si>
    <t>HARGA TOTAL</t>
  </si>
  <si>
    <t>KETERANGAN</t>
  </si>
  <si>
    <t>PROJECT SMART-LOCKER</t>
  </si>
  <si>
    <t>1.1</t>
  </si>
  <si>
    <t>Lemari 4 Pintu, 2 Susun</t>
  </si>
  <si>
    <t>TABITHA</t>
  </si>
  <si>
    <t>unit</t>
  </si>
  <si>
    <t>1.2</t>
  </si>
  <si>
    <t>Relay 12v</t>
  </si>
  <si>
    <t>pcs</t>
  </si>
  <si>
    <t>1.3</t>
  </si>
  <si>
    <t>Solenoid Lock</t>
  </si>
  <si>
    <t>1.4</t>
  </si>
  <si>
    <t>Kabel Body 0.75 7 warna x 1 meter</t>
  </si>
  <si>
    <t>pack</t>
  </si>
  <si>
    <t>1.5</t>
  </si>
  <si>
    <t>Refill Lem Tembak</t>
  </si>
  <si>
    <t>1.6</t>
  </si>
  <si>
    <t>ESP32</t>
  </si>
  <si>
    <t>1.7</t>
  </si>
  <si>
    <t>Skrup</t>
  </si>
  <si>
    <t>1.8</t>
  </si>
  <si>
    <t>Magnetic Door Sensor</t>
  </si>
  <si>
    <t>1.9</t>
  </si>
  <si>
    <t>Adaptor 12v 3A</t>
  </si>
  <si>
    <t>Untuk daya solenoid</t>
  </si>
  <si>
    <t>1.10</t>
  </si>
  <si>
    <t>Step-down 12v to 5v (LM2596)</t>
  </si>
  <si>
    <t>Untuk daya ESP32</t>
  </si>
  <si>
    <t>1.11</t>
  </si>
  <si>
    <t>Dioda 1N4007</t>
  </si>
  <si>
    <t>Proteksi Solenoid</t>
  </si>
  <si>
    <t>1.12</t>
  </si>
  <si>
    <t>Kabel Jumper (Male to Female dan Male to Male)</t>
  </si>
  <si>
    <t>set</t>
  </si>
  <si>
    <t>Wiring sensor dan Relay</t>
  </si>
  <si>
    <t>Subtotal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</si>
</sst>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p&quot;* #,##0.00_-;\-&quot;Rp&quot;* #,##0.00_-;_-&quot;Rp&quot;* &quot;-&quot;??_-;_-@"/>
    <numFmt numFmtId="165" formatCode="_-&quot;Rp&quot;* #,##0_-;\-&quot;Rp&quot;* #,##0_-;_-&quot;Rp&quot;* &quot;-&quot;??_-;_-@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/>
    <font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8EAADB"/>
        <bgColor rgb="FF8EAA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1" fillId="2" fontId="2" numFmtId="164" xfId="0" applyAlignment="1" applyBorder="1" applyFill="1" applyFont="1" applyNumberFormat="1">
      <alignment horizontal="center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readingOrder="0"/>
    </xf>
    <xf borderId="4" fillId="0" fontId="3" numFmtId="0" xfId="0" applyBorder="1" applyFont="1"/>
    <xf quotePrefix="1" borderId="1" fillId="0" fontId="5" numFmtId="20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165" xfId="0" applyAlignment="1" applyBorder="1" applyFont="1" applyNumberFormat="1">
      <alignment horizontal="right" readingOrder="0" vertical="bottom"/>
    </xf>
    <xf borderId="1" fillId="0" fontId="5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1" fillId="0" fontId="5" numFmtId="20" xfId="0" applyAlignment="1" applyBorder="1" applyFont="1" applyNumberFormat="1">
      <alignment horizontal="center" vertical="bottom"/>
    </xf>
    <xf borderId="1" fillId="0" fontId="4" numFmtId="0" xfId="0" applyBorder="1" applyFont="1"/>
    <xf borderId="1" fillId="0" fontId="5" numFmtId="0" xfId="0" applyAlignment="1" applyBorder="1" applyFont="1">
      <alignment vertical="bottom"/>
    </xf>
    <xf borderId="1" fillId="0" fontId="4" numFmtId="20" xfId="0" applyAlignment="1" applyBorder="1" applyFont="1" applyNumberFormat="1">
      <alignment vertical="bottom"/>
    </xf>
    <xf borderId="2" fillId="4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6" max="6" width="13.63"/>
    <col customWidth="1" min="7" max="7" width="15.5"/>
    <col customWidth="1" min="8" max="8" width="55.8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3" t="s">
        <v>4</v>
      </c>
      <c r="E3" s="4"/>
      <c r="F3" s="5" t="s">
        <v>5</v>
      </c>
      <c r="G3" s="2" t="s">
        <v>6</v>
      </c>
      <c r="H3" s="2" t="s">
        <v>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>
        <v>1.0</v>
      </c>
      <c r="B4" s="8" t="s">
        <v>8</v>
      </c>
      <c r="C4" s="9"/>
      <c r="D4" s="9"/>
      <c r="E4" s="9"/>
      <c r="F4" s="9"/>
      <c r="G4" s="9"/>
      <c r="H4" s="4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0" t="s">
        <v>9</v>
      </c>
      <c r="B5" s="11" t="s">
        <v>10</v>
      </c>
      <c r="C5" s="12" t="s">
        <v>11</v>
      </c>
      <c r="D5" s="13">
        <v>1.0</v>
      </c>
      <c r="E5" s="13" t="s">
        <v>12</v>
      </c>
      <c r="F5" s="14">
        <v>200000.0</v>
      </c>
      <c r="G5" s="15">
        <f t="shared" ref="G5:G16" si="1">F5*D5</f>
        <v>200000</v>
      </c>
      <c r="H5" s="1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0" t="s">
        <v>13</v>
      </c>
      <c r="B6" s="11" t="s">
        <v>14</v>
      </c>
      <c r="C6" s="17"/>
      <c r="D6" s="13">
        <v>4.0</v>
      </c>
      <c r="E6" s="13" t="s">
        <v>15</v>
      </c>
      <c r="F6" s="14">
        <v>10000.0</v>
      </c>
      <c r="G6" s="15">
        <f t="shared" si="1"/>
        <v>40000</v>
      </c>
      <c r="H6" s="1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8" t="s">
        <v>16</v>
      </c>
      <c r="B7" s="11" t="s">
        <v>17</v>
      </c>
      <c r="C7" s="19"/>
      <c r="D7" s="13">
        <v>4.0</v>
      </c>
      <c r="E7" s="13" t="s">
        <v>15</v>
      </c>
      <c r="F7" s="14">
        <v>15000.0</v>
      </c>
      <c r="G7" s="15">
        <f t="shared" si="1"/>
        <v>60000</v>
      </c>
      <c r="H7" s="2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8" t="s">
        <v>18</v>
      </c>
      <c r="B8" s="11" t="s">
        <v>19</v>
      </c>
      <c r="C8" s="19"/>
      <c r="D8" s="13">
        <v>1.0</v>
      </c>
      <c r="E8" s="13" t="s">
        <v>20</v>
      </c>
      <c r="F8" s="14">
        <v>25000.0</v>
      </c>
      <c r="G8" s="15">
        <f t="shared" si="1"/>
        <v>25000</v>
      </c>
      <c r="H8" s="2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8" t="s">
        <v>21</v>
      </c>
      <c r="B9" s="11" t="s">
        <v>22</v>
      </c>
      <c r="C9" s="19"/>
      <c r="D9" s="13">
        <v>1.0</v>
      </c>
      <c r="E9" s="13" t="s">
        <v>20</v>
      </c>
      <c r="F9" s="14">
        <v>10000.0</v>
      </c>
      <c r="G9" s="15">
        <f t="shared" si="1"/>
        <v>10000</v>
      </c>
      <c r="H9" s="20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8" t="s">
        <v>23</v>
      </c>
      <c r="B10" s="11" t="s">
        <v>24</v>
      </c>
      <c r="C10" s="19"/>
      <c r="D10" s="13">
        <v>1.0</v>
      </c>
      <c r="E10" s="13" t="s">
        <v>12</v>
      </c>
      <c r="F10" s="14">
        <v>50000.0</v>
      </c>
      <c r="G10" s="15">
        <f t="shared" si="1"/>
        <v>50000</v>
      </c>
      <c r="H10" s="20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8" t="s">
        <v>25</v>
      </c>
      <c r="B11" s="11" t="s">
        <v>26</v>
      </c>
      <c r="C11" s="19"/>
      <c r="D11" s="13">
        <v>1.0</v>
      </c>
      <c r="E11" s="13" t="s">
        <v>20</v>
      </c>
      <c r="F11" s="14">
        <v>10000.0</v>
      </c>
      <c r="G11" s="15">
        <f t="shared" si="1"/>
        <v>10000</v>
      </c>
      <c r="H11" s="2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8" t="s">
        <v>27</v>
      </c>
      <c r="B12" s="11" t="s">
        <v>28</v>
      </c>
      <c r="C12" s="19"/>
      <c r="D12" s="13">
        <v>4.0</v>
      </c>
      <c r="E12" s="13" t="s">
        <v>15</v>
      </c>
      <c r="F12" s="14">
        <v>10000.0</v>
      </c>
      <c r="G12" s="15">
        <f t="shared" si="1"/>
        <v>40000</v>
      </c>
      <c r="H12" s="20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8" t="s">
        <v>29</v>
      </c>
      <c r="B13" s="11" t="s">
        <v>30</v>
      </c>
      <c r="C13" s="19"/>
      <c r="D13" s="13">
        <v>1.0</v>
      </c>
      <c r="E13" s="13" t="s">
        <v>15</v>
      </c>
      <c r="F13" s="14">
        <v>35000.0</v>
      </c>
      <c r="G13" s="15">
        <f t="shared" si="1"/>
        <v>35000</v>
      </c>
      <c r="H13" s="11" t="s">
        <v>31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8" t="s">
        <v>32</v>
      </c>
      <c r="B14" s="11" t="s">
        <v>33</v>
      </c>
      <c r="C14" s="19"/>
      <c r="D14" s="13">
        <v>1.0</v>
      </c>
      <c r="E14" s="13" t="s">
        <v>15</v>
      </c>
      <c r="F14" s="14">
        <v>15000.0</v>
      </c>
      <c r="G14" s="15">
        <f t="shared" si="1"/>
        <v>15000</v>
      </c>
      <c r="H14" s="11" t="s">
        <v>34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8" t="s">
        <v>35</v>
      </c>
      <c r="B15" s="11" t="s">
        <v>36</v>
      </c>
      <c r="C15" s="19"/>
      <c r="D15" s="13">
        <v>8.0</v>
      </c>
      <c r="E15" s="13" t="s">
        <v>15</v>
      </c>
      <c r="F15" s="14">
        <v>1000.0</v>
      </c>
      <c r="G15" s="15">
        <f t="shared" si="1"/>
        <v>8000</v>
      </c>
      <c r="H15" s="11" t="s">
        <v>37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8" t="s">
        <v>38</v>
      </c>
      <c r="B16" s="11" t="s">
        <v>39</v>
      </c>
      <c r="C16" s="19"/>
      <c r="D16" s="13">
        <v>1.0</v>
      </c>
      <c r="E16" s="13" t="s">
        <v>40</v>
      </c>
      <c r="F16" s="14">
        <v>15000.0</v>
      </c>
      <c r="G16" s="15">
        <f t="shared" si="1"/>
        <v>15000</v>
      </c>
      <c r="H16" s="11" t="s">
        <v>41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1"/>
      <c r="B17" s="22" t="s">
        <v>42</v>
      </c>
      <c r="C17" s="9"/>
      <c r="D17" s="9"/>
      <c r="E17" s="9"/>
      <c r="F17" s="4"/>
      <c r="G17" s="15">
        <f>SUM(G5:G16)</f>
        <v>508000</v>
      </c>
      <c r="H17" s="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</sheetData>
  <mergeCells count="4">
    <mergeCell ref="D3:E3"/>
    <mergeCell ref="B4:H4"/>
    <mergeCell ref="B17:F17"/>
    <mergeCell ref="A1:H1"/>
  </mergeCells>
  <drawing r:id="rId1"/>
</worksheet>
</file>