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HDD\Perkuliahan\05. SMT 5\PROJECT\Smart-locker\hardware\"/>
    </mc:Choice>
  </mc:AlternateContent>
  <xr:revisionPtr revIDLastSave="0" documentId="13_ncr:1_{D36D5FB6-1449-4A8C-B5CC-81F0ACCC1BC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" l="1"/>
  <c r="G16" i="1"/>
  <c r="G22" i="1"/>
  <c r="G15" i="1"/>
  <c r="G14" i="1"/>
  <c r="G13" i="1"/>
  <c r="G12" i="1"/>
  <c r="G11" i="1"/>
  <c r="G10" i="1"/>
  <c r="G9" i="1"/>
  <c r="G8" i="1"/>
  <c r="G7" i="1"/>
  <c r="G6" i="1"/>
  <c r="G5" i="1"/>
  <c r="G23" i="1" s="1"/>
</calcChain>
</file>

<file path=xl/sharedStrings.xml><?xml version="1.0" encoding="utf-8"?>
<sst xmlns="http://schemas.openxmlformats.org/spreadsheetml/2006/main" count="69" uniqueCount="56">
  <si>
    <t>RAB PROJECT SEMESTER 5</t>
  </si>
  <si>
    <t>NO</t>
  </si>
  <si>
    <t>RENCANA PENGELUARAN</t>
  </si>
  <si>
    <t>MERK</t>
  </si>
  <si>
    <t>VOLUME</t>
  </si>
  <si>
    <t>HARGA SATUAN</t>
  </si>
  <si>
    <t>HARGA TOTAL</t>
  </si>
  <si>
    <t>KETERANGAN</t>
  </si>
  <si>
    <t>PROJECT SMART-LOCKER</t>
  </si>
  <si>
    <t>1.1</t>
  </si>
  <si>
    <t>Lemari 4 Pintu, 2 Susun</t>
  </si>
  <si>
    <t>TABITHA</t>
  </si>
  <si>
    <t>unit</t>
  </si>
  <si>
    <t>1.2</t>
  </si>
  <si>
    <t>Relay 12v</t>
  </si>
  <si>
    <t>pcs</t>
  </si>
  <si>
    <t>1.3</t>
  </si>
  <si>
    <t>Solenoid Lock</t>
  </si>
  <si>
    <t>1.4</t>
  </si>
  <si>
    <t>Kabel Body 0.75 7 warna x 1 meter</t>
  </si>
  <si>
    <t>pack</t>
  </si>
  <si>
    <t>1.5</t>
  </si>
  <si>
    <t>Refill Lem Tembak</t>
  </si>
  <si>
    <t>1.6</t>
  </si>
  <si>
    <t>ESP32</t>
  </si>
  <si>
    <t>1.7</t>
  </si>
  <si>
    <t>Skrup</t>
  </si>
  <si>
    <t>1.8</t>
  </si>
  <si>
    <t>Magnetic Door Sensor</t>
  </si>
  <si>
    <t>1.9</t>
  </si>
  <si>
    <t>Adaptor 12v 3A</t>
  </si>
  <si>
    <t>Untuk daya solenoid</t>
  </si>
  <si>
    <t>1.10</t>
  </si>
  <si>
    <t>Step-down 12v to 5v (LM2596)</t>
  </si>
  <si>
    <t>Untuk daya ESP32</t>
  </si>
  <si>
    <t>1.11</t>
  </si>
  <si>
    <t>Dioda 1N4007</t>
  </si>
  <si>
    <t>Proteksi Solenoid</t>
  </si>
  <si>
    <t>1.12</t>
  </si>
  <si>
    <t>Kabel Jumper (Male to Female dan Male to Male)</t>
  </si>
  <si>
    <t>set</t>
  </si>
  <si>
    <t>Wiring sensor dan Relay</t>
  </si>
  <si>
    <t>Subtotal</t>
  </si>
  <si>
    <t>TFT IPS LCD 1.3 Inch 240×240 Full Color Display Module – Layar HD untuk Arduino, ESP32 &amp; Proyek IoT</t>
  </si>
  <si>
    <t>timah solder</t>
  </si>
  <si>
    <t>Selongsong Bakar (heat shrink tube)</t>
  </si>
  <si>
    <t>gulung kecil</t>
  </si>
  <si>
    <t>Box/casing pelindung ESP32+relay</t>
  </si>
  <si>
    <t>Fuse holder + fuse 5A</t>
  </si>
  <si>
    <t>Kabel ties</t>
  </si>
  <si>
    <t>1.13</t>
  </si>
  <si>
    <t>1.14</t>
  </si>
  <si>
    <t>1.15</t>
  </si>
  <si>
    <t>1.16</t>
  </si>
  <si>
    <t>1.17</t>
  </si>
  <si>
    <t>1.18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</si>
</sst>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p&quot;* #,##0.00_-;\-&quot;Rp&quot;* #,##0.00_-;_-&quot;Rp&quot;* &quot;-&quot;??_-;_-@"/>
    <numFmt numFmtId="165" formatCode="_-&quot;Rp&quot;* #,##0_-;\-&quot;Rp&quot;* #,##0_-;_-&quot;Rp&quot;* &quot;-&quot;??_-;_-@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name val="Arial"/>
    </font>
    <font>
      <sz val="10"/>
      <color theme="1"/>
      <name val="Calibri"/>
    </font>
    <font>
      <sz val="11"/>
      <color theme="1"/>
      <name val="Calibri"/>
    </font>
    <font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sz val="8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8EAADB"/>
        <bgColor rgb="FF8EAADB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4" fontId="2" fillId="2" borderId="1" xfId="0" applyNumberFormat="1" applyFont="1" applyFill="1" applyBorder="1" applyAlignment="1">
      <alignment horizontal="center"/>
    </xf>
    <xf numFmtId="0" fontId="4" fillId="0" borderId="0" xfId="0" applyFont="1" applyAlignment="1"/>
    <xf numFmtId="0" fontId="5" fillId="0" borderId="1" xfId="0" applyFont="1" applyBorder="1" applyAlignment="1">
      <alignment horizontal="center"/>
    </xf>
    <xf numFmtId="20" fontId="5" fillId="0" borderId="1" xfId="0" quotePrefix="1" applyNumberFormat="1" applyFont="1" applyBorder="1" applyAlignment="1">
      <alignment horizontal="center"/>
    </xf>
    <xf numFmtId="0" fontId="5" fillId="0" borderId="1" xfId="0" applyFont="1" applyBorder="1" applyAlignment="1"/>
    <xf numFmtId="0" fontId="4" fillId="0" borderId="1" xfId="0" applyFont="1" applyBorder="1" applyAlignment="1"/>
    <xf numFmtId="0" fontId="5" fillId="0" borderId="1" xfId="0" applyFont="1" applyBorder="1" applyAlignment="1">
      <alignment horizontal="center"/>
    </xf>
    <xf numFmtId="165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4" fillId="0" borderId="1" xfId="0" applyFont="1" applyBorder="1" applyAlignment="1"/>
    <xf numFmtId="0" fontId="5" fillId="0" borderId="1" xfId="0" applyFont="1" applyBorder="1" applyAlignment="1">
      <alignment horizontal="center"/>
    </xf>
    <xf numFmtId="20" fontId="5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/>
    <xf numFmtId="20" fontId="4" fillId="0" borderId="1" xfId="0" applyNumberFormat="1" applyFont="1" applyBorder="1" applyAlignment="1"/>
    <xf numFmtId="0" fontId="7" fillId="0" borderId="1" xfId="0" applyFont="1" applyBorder="1" applyAlignment="1"/>
    <xf numFmtId="0" fontId="7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0" borderId="3" xfId="0" applyFont="1" applyBorder="1"/>
    <xf numFmtId="0" fontId="2" fillId="3" borderId="2" xfId="0" applyFont="1" applyFill="1" applyBorder="1" applyAlignment="1"/>
    <xf numFmtId="0" fontId="3" fillId="0" borderId="4" xfId="0" applyFont="1" applyBorder="1"/>
    <xf numFmtId="0" fontId="2" fillId="4" borderId="2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Font="1" applyAlignment="1"/>
    <xf numFmtId="20" fontId="5" fillId="0" borderId="2" xfId="0" applyNumberFormat="1" applyFont="1" applyBorder="1" applyAlignment="1">
      <alignment horizontal="center"/>
    </xf>
    <xf numFmtId="0" fontId="4" fillId="0" borderId="3" xfId="0" applyFont="1" applyBorder="1"/>
    <xf numFmtId="0" fontId="7" fillId="0" borderId="6" xfId="0" applyFont="1" applyBorder="1" applyAlignment="1"/>
    <xf numFmtId="0" fontId="5" fillId="0" borderId="7" xfId="0" applyFont="1" applyBorder="1" applyAlignment="1"/>
    <xf numFmtId="0" fontId="6" fillId="0" borderId="5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23"/>
  <sheetViews>
    <sheetView tabSelected="1" zoomScale="86" workbookViewId="0">
      <selection activeCell="B14" sqref="B14"/>
    </sheetView>
  </sheetViews>
  <sheetFormatPr defaultColWidth="12.5703125" defaultRowHeight="15.75" customHeight="1" x14ac:dyDescent="0.2"/>
  <cols>
    <col min="2" max="2" width="97.5703125" customWidth="1"/>
    <col min="6" max="6" width="13.5703125" customWidth="1"/>
    <col min="7" max="7" width="15.42578125" customWidth="1"/>
    <col min="8" max="8" width="55.85546875" customWidth="1"/>
  </cols>
  <sheetData>
    <row r="1" spans="1:25" ht="12.75" x14ac:dyDescent="0.2">
      <c r="A1" s="24" t="s">
        <v>0</v>
      </c>
      <c r="B1" s="25"/>
      <c r="C1" s="25"/>
      <c r="D1" s="25"/>
      <c r="E1" s="25"/>
      <c r="F1" s="25"/>
      <c r="G1" s="25"/>
      <c r="H1" s="25"/>
    </row>
    <row r="3" spans="1:25" ht="15.75" customHeight="1" x14ac:dyDescent="0.25">
      <c r="A3" s="1" t="s">
        <v>1</v>
      </c>
      <c r="B3" s="1" t="s">
        <v>2</v>
      </c>
      <c r="C3" s="1" t="s">
        <v>3</v>
      </c>
      <c r="D3" s="19" t="s">
        <v>4</v>
      </c>
      <c r="E3" s="20"/>
      <c r="F3" s="2" t="s">
        <v>5</v>
      </c>
      <c r="G3" s="1" t="s">
        <v>6</v>
      </c>
      <c r="H3" s="1" t="s">
        <v>7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ht="15.75" customHeight="1" x14ac:dyDescent="0.25">
      <c r="A4" s="4">
        <v>1</v>
      </c>
      <c r="B4" s="21" t="s">
        <v>8</v>
      </c>
      <c r="C4" s="22"/>
      <c r="D4" s="22"/>
      <c r="E4" s="22"/>
      <c r="F4" s="22"/>
      <c r="G4" s="22"/>
      <c r="H4" s="20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ht="15.75" customHeight="1" x14ac:dyDescent="0.25">
      <c r="A5" s="5" t="s">
        <v>9</v>
      </c>
      <c r="B5" s="6" t="s">
        <v>10</v>
      </c>
      <c r="C5" s="7" t="s">
        <v>11</v>
      </c>
      <c r="D5" s="8">
        <v>1</v>
      </c>
      <c r="E5" s="8" t="s">
        <v>12</v>
      </c>
      <c r="F5" s="9">
        <v>200000</v>
      </c>
      <c r="G5" s="10">
        <f t="shared" ref="G5:G22" si="0">F5*D5</f>
        <v>200000</v>
      </c>
      <c r="H5" s="1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ht="15.75" customHeight="1" x14ac:dyDescent="0.25">
      <c r="A6" s="5" t="s">
        <v>13</v>
      </c>
      <c r="B6" s="6" t="s">
        <v>14</v>
      </c>
      <c r="C6" s="12"/>
      <c r="D6" s="8">
        <v>4</v>
      </c>
      <c r="E6" s="8" t="s">
        <v>15</v>
      </c>
      <c r="F6" s="9">
        <v>10000</v>
      </c>
      <c r="G6" s="10">
        <f t="shared" si="0"/>
        <v>40000</v>
      </c>
      <c r="H6" s="11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ht="15.75" customHeight="1" x14ac:dyDescent="0.25">
      <c r="A7" s="13" t="s">
        <v>16</v>
      </c>
      <c r="B7" s="6" t="s">
        <v>17</v>
      </c>
      <c r="C7" s="14"/>
      <c r="D7" s="8">
        <v>4</v>
      </c>
      <c r="E7" s="8" t="s">
        <v>15</v>
      </c>
      <c r="F7" s="9">
        <v>15000</v>
      </c>
      <c r="G7" s="10">
        <f t="shared" si="0"/>
        <v>60000</v>
      </c>
      <c r="H7" s="15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ht="15.75" customHeight="1" x14ac:dyDescent="0.25">
      <c r="A8" s="13" t="s">
        <v>18</v>
      </c>
      <c r="B8" s="6" t="s">
        <v>19</v>
      </c>
      <c r="C8" s="14"/>
      <c r="D8" s="8">
        <v>1</v>
      </c>
      <c r="E8" s="8" t="s">
        <v>20</v>
      </c>
      <c r="F8" s="9">
        <v>25000</v>
      </c>
      <c r="G8" s="10">
        <f t="shared" si="0"/>
        <v>25000</v>
      </c>
      <c r="H8" s="15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ht="15.75" customHeight="1" x14ac:dyDescent="0.25">
      <c r="A9" s="13" t="s">
        <v>21</v>
      </c>
      <c r="B9" s="6" t="s">
        <v>22</v>
      </c>
      <c r="C9" s="14"/>
      <c r="D9" s="8">
        <v>1</v>
      </c>
      <c r="E9" s="8" t="s">
        <v>20</v>
      </c>
      <c r="F9" s="9">
        <v>10000</v>
      </c>
      <c r="G9" s="10">
        <f t="shared" si="0"/>
        <v>10000</v>
      </c>
      <c r="H9" s="15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ht="15.75" customHeight="1" x14ac:dyDescent="0.25">
      <c r="A10" s="13" t="s">
        <v>23</v>
      </c>
      <c r="B10" s="6" t="s">
        <v>24</v>
      </c>
      <c r="C10" s="14"/>
      <c r="D10" s="8">
        <v>1</v>
      </c>
      <c r="E10" s="8" t="s">
        <v>12</v>
      </c>
      <c r="F10" s="9">
        <v>50000</v>
      </c>
      <c r="G10" s="10">
        <f t="shared" si="0"/>
        <v>50000</v>
      </c>
      <c r="H10" s="15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ht="15.75" customHeight="1" x14ac:dyDescent="0.25">
      <c r="A11" s="13" t="s">
        <v>25</v>
      </c>
      <c r="B11" s="6" t="s">
        <v>26</v>
      </c>
      <c r="C11" s="14"/>
      <c r="D11" s="8">
        <v>1</v>
      </c>
      <c r="E11" s="8" t="s">
        <v>20</v>
      </c>
      <c r="F11" s="9">
        <v>10000</v>
      </c>
      <c r="G11" s="10">
        <f t="shared" si="0"/>
        <v>10000</v>
      </c>
      <c r="H11" s="15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ht="15.75" customHeight="1" x14ac:dyDescent="0.25">
      <c r="A12" s="13" t="s">
        <v>27</v>
      </c>
      <c r="B12" s="6" t="s">
        <v>28</v>
      </c>
      <c r="C12" s="14"/>
      <c r="D12" s="8">
        <v>4</v>
      </c>
      <c r="E12" s="8" t="s">
        <v>15</v>
      </c>
      <c r="F12" s="9">
        <v>10000</v>
      </c>
      <c r="G12" s="10">
        <f t="shared" si="0"/>
        <v>40000</v>
      </c>
      <c r="H12" s="15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ht="15.75" customHeight="1" x14ac:dyDescent="0.25">
      <c r="A13" s="13" t="s">
        <v>29</v>
      </c>
      <c r="B13" s="6" t="s">
        <v>30</v>
      </c>
      <c r="C13" s="14"/>
      <c r="D13" s="8">
        <v>1</v>
      </c>
      <c r="E13" s="8" t="s">
        <v>15</v>
      </c>
      <c r="F13" s="9">
        <v>35000</v>
      </c>
      <c r="G13" s="10">
        <f t="shared" si="0"/>
        <v>35000</v>
      </c>
      <c r="H13" s="6" t="s">
        <v>31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ht="15.75" customHeight="1" x14ac:dyDescent="0.25">
      <c r="A14" s="13" t="s">
        <v>32</v>
      </c>
      <c r="B14" s="6" t="s">
        <v>33</v>
      </c>
      <c r="C14" s="14"/>
      <c r="D14" s="8">
        <v>1</v>
      </c>
      <c r="E14" s="8" t="s">
        <v>15</v>
      </c>
      <c r="F14" s="9">
        <v>15000</v>
      </c>
      <c r="G14" s="10">
        <f t="shared" si="0"/>
        <v>15000</v>
      </c>
      <c r="H14" s="6" t="s">
        <v>34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ht="15.75" customHeight="1" x14ac:dyDescent="0.25">
      <c r="A15" s="13" t="s">
        <v>35</v>
      </c>
      <c r="B15" s="6" t="s">
        <v>36</v>
      </c>
      <c r="C15" s="14"/>
      <c r="D15" s="8">
        <v>8</v>
      </c>
      <c r="E15" s="8" t="s">
        <v>15</v>
      </c>
      <c r="F15" s="9">
        <v>1000</v>
      </c>
      <c r="G15" s="10">
        <f t="shared" si="0"/>
        <v>8000</v>
      </c>
      <c r="H15" s="6" t="s">
        <v>37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ht="15.75" customHeight="1" x14ac:dyDescent="0.25">
      <c r="A16" s="13" t="s">
        <v>38</v>
      </c>
      <c r="B16" s="17" t="s">
        <v>43</v>
      </c>
      <c r="C16" s="14"/>
      <c r="D16" s="12">
        <v>4</v>
      </c>
      <c r="E16" s="18" t="s">
        <v>15</v>
      </c>
      <c r="F16" s="10">
        <v>100000</v>
      </c>
      <c r="G16" s="10">
        <f t="shared" si="0"/>
        <v>400000</v>
      </c>
      <c r="H16" s="15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ht="15.75" customHeight="1" x14ac:dyDescent="0.25">
      <c r="A17" s="13" t="s">
        <v>50</v>
      </c>
      <c r="B17" s="17" t="s">
        <v>44</v>
      </c>
      <c r="C17" s="14"/>
      <c r="D17" s="12">
        <v>1</v>
      </c>
      <c r="E17" s="18" t="s">
        <v>46</v>
      </c>
      <c r="F17" s="10">
        <v>20000</v>
      </c>
      <c r="G17" s="10">
        <f t="shared" si="0"/>
        <v>20000</v>
      </c>
      <c r="H17" s="15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ht="15.75" customHeight="1" x14ac:dyDescent="0.25">
      <c r="A18" s="13" t="s">
        <v>51</v>
      </c>
      <c r="B18" s="28" t="s">
        <v>45</v>
      </c>
      <c r="C18" s="14"/>
      <c r="D18" s="12">
        <v>1</v>
      </c>
      <c r="E18" s="18" t="s">
        <v>40</v>
      </c>
      <c r="F18" s="10">
        <v>20000</v>
      </c>
      <c r="G18" s="10">
        <v>20000</v>
      </c>
      <c r="H18" s="15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ht="15.75" customHeight="1" x14ac:dyDescent="0.25">
      <c r="A19" s="26" t="s">
        <v>52</v>
      </c>
      <c r="B19" s="30" t="s">
        <v>47</v>
      </c>
      <c r="C19" s="27"/>
      <c r="D19" s="12">
        <v>1</v>
      </c>
      <c r="E19" s="18" t="s">
        <v>15</v>
      </c>
      <c r="F19" s="10">
        <v>20000</v>
      </c>
      <c r="G19" s="10">
        <v>20000</v>
      </c>
      <c r="H19" s="15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ht="15.75" customHeight="1" x14ac:dyDescent="0.25">
      <c r="A20" s="26" t="s">
        <v>53</v>
      </c>
      <c r="B20" s="30" t="s">
        <v>48</v>
      </c>
      <c r="C20" s="27"/>
      <c r="D20" s="12">
        <v>1</v>
      </c>
      <c r="E20" s="18" t="s">
        <v>40</v>
      </c>
      <c r="F20" s="10">
        <v>12000</v>
      </c>
      <c r="G20" s="10">
        <v>12000</v>
      </c>
      <c r="H20" s="15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ht="15.75" customHeight="1" x14ac:dyDescent="0.25">
      <c r="A21" s="26" t="s">
        <v>54</v>
      </c>
      <c r="B21" s="30" t="s">
        <v>49</v>
      </c>
      <c r="C21" s="27"/>
      <c r="D21" s="12">
        <v>1</v>
      </c>
      <c r="E21" s="18" t="s">
        <v>20</v>
      </c>
      <c r="F21" s="10">
        <v>12000</v>
      </c>
      <c r="G21" s="10">
        <v>12000</v>
      </c>
      <c r="H21" s="15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ht="15.75" customHeight="1" x14ac:dyDescent="0.25">
      <c r="A22" s="13" t="s">
        <v>55</v>
      </c>
      <c r="B22" s="29" t="s">
        <v>39</v>
      </c>
      <c r="C22" s="14"/>
      <c r="D22" s="8">
        <v>1</v>
      </c>
      <c r="E22" s="8" t="s">
        <v>40</v>
      </c>
      <c r="F22" s="9">
        <v>15000</v>
      </c>
      <c r="G22" s="10">
        <f t="shared" si="0"/>
        <v>15000</v>
      </c>
      <c r="H22" s="6" t="s">
        <v>41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ht="15.75" customHeight="1" x14ac:dyDescent="0.25">
      <c r="A23" s="16"/>
      <c r="B23" s="23" t="s">
        <v>42</v>
      </c>
      <c r="C23" s="22"/>
      <c r="D23" s="22"/>
      <c r="E23" s="22"/>
      <c r="F23" s="20"/>
      <c r="G23" s="10">
        <f>SUM(G5:G22)</f>
        <v>992000</v>
      </c>
      <c r="H23" s="11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</sheetData>
  <mergeCells count="4">
    <mergeCell ref="D3:E3"/>
    <mergeCell ref="B4:H4"/>
    <mergeCell ref="B23:F23"/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Fakhru Reza</cp:lastModifiedBy>
  <dcterms:modified xsi:type="dcterms:W3CDTF">2026-09-23T02:14:47Z</dcterms:modified>
</cp:coreProperties>
</file>